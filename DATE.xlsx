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ecai\Documents\"/>
    </mc:Choice>
  </mc:AlternateContent>
  <bookViews>
    <workbookView xWindow="0" yWindow="0" windowWidth="23040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G2" i="1"/>
  <c r="H2" i="1" s="1"/>
  <c r="G3" i="1"/>
  <c r="H3" i="1" s="1"/>
  <c r="G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</calcChain>
</file>

<file path=xl/sharedStrings.xml><?xml version="1.0" encoding="utf-8"?>
<sst xmlns="http://schemas.openxmlformats.org/spreadsheetml/2006/main" count="65" uniqueCount="61">
  <si>
    <t>ID</t>
  </si>
  <si>
    <t>PRODUTO</t>
  </si>
  <si>
    <t>VALOR</t>
  </si>
  <si>
    <t>CAFÉ</t>
  </si>
  <si>
    <t>ACUCAR</t>
  </si>
  <si>
    <t>FARINHA</t>
  </si>
  <si>
    <t>MARGARINHA</t>
  </si>
  <si>
    <t>FEIJAO</t>
  </si>
  <si>
    <t>ARROS</t>
  </si>
  <si>
    <t>QTT VENDIDA</t>
  </si>
  <si>
    <t>PRODUTO DEVOLVIDOS</t>
  </si>
  <si>
    <t>VENDEDOR</t>
  </si>
  <si>
    <t>KAMILA SILVA</t>
  </si>
  <si>
    <t>OTAVIO SILVA</t>
  </si>
  <si>
    <t>ELEONOR</t>
  </si>
  <si>
    <t>ELVIN</t>
  </si>
  <si>
    <t>OTAVIO MOURA</t>
  </si>
  <si>
    <t>PAULO</t>
  </si>
  <si>
    <t>HUGO</t>
  </si>
  <si>
    <t>WELBY</t>
  </si>
  <si>
    <t>JOSE</t>
  </si>
  <si>
    <t>JOAO</t>
  </si>
  <si>
    <t>KAIO DE LIMA ALVES</t>
  </si>
  <si>
    <t>ALVINHO</t>
  </si>
  <si>
    <t>JULIA PASCAL</t>
  </si>
  <si>
    <t>ITALO SANDRO</t>
  </si>
  <si>
    <t>GUGA</t>
  </si>
  <si>
    <t>MARCIO</t>
  </si>
  <si>
    <t>SILVIO DA COSTA</t>
  </si>
  <si>
    <t>VANDINHO DE LIMA</t>
  </si>
  <si>
    <t>EVANDRO DA COSTA</t>
  </si>
  <si>
    <t>Arroz 5kg</t>
  </si>
  <si>
    <t>Feijão Carioca 1kg</t>
  </si>
  <si>
    <t>Açúcar Refinado 1kg</t>
  </si>
  <si>
    <t>Café Tradicional 500g</t>
  </si>
  <si>
    <t>Leite Integral 1L</t>
  </si>
  <si>
    <t>Óleo de Soja 900ml</t>
  </si>
  <si>
    <t>Macarrão Espaguete 500g</t>
  </si>
  <si>
    <t>Biscoito Cream Cracker 200g</t>
  </si>
  <si>
    <t>Detergente Líquido 500ml</t>
  </si>
  <si>
    <t>Amaciante</t>
  </si>
  <si>
    <t>Farinha de Trigo 1kg</t>
  </si>
  <si>
    <t>Leite Condensado 395g</t>
  </si>
  <si>
    <t>Margarina 500g</t>
  </si>
  <si>
    <t>Sal Refinado 1kg</t>
  </si>
  <si>
    <t>Fermento em Pó 100g</t>
  </si>
  <si>
    <t>Molho de Tomate 340g</t>
  </si>
  <si>
    <t>Papel Higiênico 4 rolos</t>
  </si>
  <si>
    <t>Sabão em Pó 1kg</t>
  </si>
  <si>
    <t>MESA P PIA</t>
  </si>
  <si>
    <t>LUZ LED COZINHA</t>
  </si>
  <si>
    <t>VALTER DA COSTA</t>
  </si>
  <si>
    <t xml:space="preserve">SANDRO DE LIMA </t>
  </si>
  <si>
    <t>LUCA</t>
  </si>
  <si>
    <t>MARCOS</t>
  </si>
  <si>
    <t>MARCIA</t>
  </si>
  <si>
    <t>LUANA</t>
  </si>
  <si>
    <t>MARIA</t>
  </si>
  <si>
    <t>COMISSAO DA VENDA</t>
  </si>
  <si>
    <t>VALOR TOTAL DA VENDA - COMISSÃO DO VENDEDOR</t>
  </si>
  <si>
    <t>ANO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</si>
</sst>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7"/>
      </left>
      <right/>
      <top style="thin">
        <color indexed="64"/>
      </top>
      <bottom/>
      <diagonal/>
    </border>
    <border>
      <left/>
      <right style="thin">
        <color theme="7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1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44" fontId="0" fillId="0" borderId="2" xfId="1" applyNumberFormat="1" applyFont="1" applyBorder="1"/>
    <xf numFmtId="1" fontId="0" fillId="0" borderId="2" xfId="0" applyNumberFormat="1" applyFont="1" applyBorder="1"/>
    <xf numFmtId="0" fontId="0" fillId="0" borderId="3" xfId="0" applyFont="1" applyBorder="1"/>
    <xf numFmtId="44" fontId="0" fillId="0" borderId="1" xfId="1" applyNumberFormat="1" applyFont="1" applyBorder="1"/>
    <xf numFmtId="44" fontId="2" fillId="2" borderId="1" xfId="1" applyNumberFormat="1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/>
    <xf numFmtId="0" fontId="0" fillId="0" borderId="4" xfId="0" applyFont="1" applyBorder="1"/>
    <xf numFmtId="44" fontId="0" fillId="0" borderId="4" xfId="1" applyNumberFormat="1" applyFont="1" applyBorder="1"/>
    <xf numFmtId="1" fontId="0" fillId="0" borderId="4" xfId="0" applyNumberFormat="1" applyFont="1" applyBorder="1"/>
    <xf numFmtId="0" fontId="0" fillId="0" borderId="8" xfId="0" applyFont="1" applyBorder="1"/>
    <xf numFmtId="44" fontId="2" fillId="2" borderId="2" xfId="1" applyNumberFormat="1" applyFont="1" applyFill="1" applyBorder="1"/>
    <xf numFmtId="0" fontId="2" fillId="2" borderId="9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theme="7"/>
        </right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I29" totalsRowShown="0" headerRowDxfId="9" tableBorderDxfId="8">
  <autoFilter ref="A1:I29"/>
  <tableColumns count="9">
    <tableColumn id="1" name="ID" dataDxfId="7"/>
    <tableColumn id="2" name="PRODUTO" dataDxfId="6"/>
    <tableColumn id="3" name="VALOR" dataDxfId="5" dataCellStyle="Moeda"/>
    <tableColumn id="4" name="QTT VENDIDA" dataDxfId="4"/>
    <tableColumn id="5" name="PRODUTO DEVOLVIDOS" dataDxfId="3"/>
    <tableColumn id="6" name="VENDEDOR" dataDxfId="2"/>
    <tableColumn id="7" name="COMISSAO DA VENDA" dataDxfId="1" dataCellStyle="Moeda">
      <calculatedColumnFormula>(Plan1!$C2*10%)*Plan1!$D2</calculatedColumnFormula>
    </tableColumn>
    <tableColumn id="8" name="VALOR TOTAL DA VENDA - COMISSÃO DO VENDEDOR" dataDxfId="0" dataCellStyle="Moeda">
      <calculatedColumnFormula>(Plan1!$C2*Plan1!$D2)-Plan1!$G2</calculatedColumnFormula>
    </tableColumn>
    <tableColumn id="9" name="ANO DA VEN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="80" zoomScaleNormal="80" workbookViewId="0">
      <selection activeCell="I12" sqref="I12"/>
    </sheetView>
  </sheetViews>
  <sheetFormatPr defaultRowHeight="14.4" x14ac:dyDescent="0.3"/>
  <cols>
    <col min="2" max="2" width="24.6640625" bestFit="1" customWidth="1"/>
    <col min="3" max="3" width="11.21875" bestFit="1" customWidth="1"/>
    <col min="4" max="4" width="14.5546875" customWidth="1"/>
    <col min="5" max="5" width="23.109375" customWidth="1"/>
    <col min="6" max="6" width="18" bestFit="1" customWidth="1"/>
    <col min="7" max="7" width="22.6640625" style="1" customWidth="1"/>
    <col min="8" max="8" width="49" style="1" bestFit="1" customWidth="1"/>
    <col min="9" max="9" width="20.109375" bestFit="1" customWidth="1"/>
  </cols>
  <sheetData>
    <row r="1" spans="1:9" x14ac:dyDescent="0.3">
      <c r="A1" s="10" t="s">
        <v>0</v>
      </c>
      <c r="B1" s="10" t="s">
        <v>1</v>
      </c>
      <c r="C1" s="10" t="s">
        <v>2</v>
      </c>
      <c r="D1" s="10" t="s">
        <v>9</v>
      </c>
      <c r="E1" s="10" t="s">
        <v>10</v>
      </c>
      <c r="F1" s="11" t="s">
        <v>11</v>
      </c>
      <c r="G1" s="9" t="s">
        <v>58</v>
      </c>
      <c r="H1" s="17" t="s">
        <v>59</v>
      </c>
      <c r="I1" s="18" t="s">
        <v>60</v>
      </c>
    </row>
    <row r="2" spans="1:9" x14ac:dyDescent="0.3">
      <c r="A2" s="12">
        <v>1</v>
      </c>
      <c r="B2" s="13" t="s">
        <v>3</v>
      </c>
      <c r="C2" s="14">
        <v>10</v>
      </c>
      <c r="D2" s="15">
        <v>10</v>
      </c>
      <c r="E2" s="13">
        <v>12</v>
      </c>
      <c r="F2" s="16" t="s">
        <v>26</v>
      </c>
      <c r="G2" s="8">
        <f>(Plan1!$C2*10%)*Plan1!$D2</f>
        <v>10</v>
      </c>
      <c r="H2" s="5">
        <f>(Plan1!$C2*Plan1!$D2)-Plan1!$G2</f>
        <v>90</v>
      </c>
      <c r="I2" s="2">
        <v>2011</v>
      </c>
    </row>
    <row r="3" spans="1:9" x14ac:dyDescent="0.3">
      <c r="A3" s="3">
        <v>2</v>
      </c>
      <c r="B3" s="4" t="s">
        <v>4</v>
      </c>
      <c r="C3" s="5">
        <v>11</v>
      </c>
      <c r="D3" s="6">
        <v>211</v>
      </c>
      <c r="E3" s="4">
        <v>1</v>
      </c>
      <c r="F3" s="7" t="s">
        <v>12</v>
      </c>
      <c r="G3" s="8">
        <f>(Plan1!$C3*10%)*Plan1!$D3</f>
        <v>232.10000000000002</v>
      </c>
      <c r="H3" s="5">
        <f>(Plan1!$C3*Plan1!$D3)-Plan1!$G3</f>
        <v>2088.9</v>
      </c>
      <c r="I3" s="2">
        <v>2010</v>
      </c>
    </row>
    <row r="4" spans="1:9" x14ac:dyDescent="0.3">
      <c r="A4" s="3">
        <v>3</v>
      </c>
      <c r="B4" s="4" t="s">
        <v>4</v>
      </c>
      <c r="C4" s="5">
        <v>12</v>
      </c>
      <c r="D4" s="6">
        <v>100</v>
      </c>
      <c r="E4" s="4">
        <v>2</v>
      </c>
      <c r="F4" s="7" t="s">
        <v>13</v>
      </c>
      <c r="G4" s="8">
        <f>(Plan1!$C4*10%)*Plan1!$D4</f>
        <v>120.00000000000001</v>
      </c>
      <c r="H4" s="5">
        <f>(Plan1!$C4*Plan1!$D4)-Plan1!$G4</f>
        <v>1080</v>
      </c>
      <c r="I4" s="2">
        <v>2011</v>
      </c>
    </row>
    <row r="5" spans="1:9" x14ac:dyDescent="0.3">
      <c r="A5" s="3">
        <v>4</v>
      </c>
      <c r="B5" s="4" t="s">
        <v>5</v>
      </c>
      <c r="C5" s="5">
        <v>13</v>
      </c>
      <c r="D5" s="6">
        <v>300</v>
      </c>
      <c r="E5" s="4">
        <v>0</v>
      </c>
      <c r="F5" s="7" t="s">
        <v>14</v>
      </c>
      <c r="G5" s="8">
        <f>(Plan1!$C5*10%)*Plan1!$D5</f>
        <v>390</v>
      </c>
      <c r="H5" s="5">
        <f>(Plan1!$C5*Plan1!$D5)-Plan1!$G5</f>
        <v>3510</v>
      </c>
      <c r="I5" s="2">
        <v>2025</v>
      </c>
    </row>
    <row r="6" spans="1:9" x14ac:dyDescent="0.3">
      <c r="A6" s="3">
        <v>5</v>
      </c>
      <c r="B6" s="4" t="s">
        <v>6</v>
      </c>
      <c r="C6" s="5">
        <v>14</v>
      </c>
      <c r="D6" s="6">
        <v>4</v>
      </c>
      <c r="E6" s="4">
        <v>1</v>
      </c>
      <c r="F6" s="7" t="s">
        <v>15</v>
      </c>
      <c r="G6" s="8">
        <f>(Plan1!$C6*10%)*Plan1!$D6</f>
        <v>5.6000000000000005</v>
      </c>
      <c r="H6" s="5">
        <f>(Plan1!$C6*Plan1!$D6)-Plan1!$G6</f>
        <v>50.4</v>
      </c>
      <c r="I6" s="2">
        <v>2011</v>
      </c>
    </row>
    <row r="7" spans="1:9" x14ac:dyDescent="0.3">
      <c r="A7" s="3">
        <v>6</v>
      </c>
      <c r="B7" s="4" t="s">
        <v>7</v>
      </c>
      <c r="C7" s="5">
        <v>15</v>
      </c>
      <c r="D7" s="6">
        <v>5</v>
      </c>
      <c r="E7" s="4">
        <v>7</v>
      </c>
      <c r="F7" s="7" t="s">
        <v>16</v>
      </c>
      <c r="G7" s="8">
        <f>(Plan1!$C7*10%)*Plan1!$D7</f>
        <v>7.5</v>
      </c>
      <c r="H7" s="5">
        <f>(Plan1!$C7*Plan1!$D7)-Plan1!$G7</f>
        <v>67.5</v>
      </c>
      <c r="I7" s="2">
        <v>2010</v>
      </c>
    </row>
    <row r="8" spans="1:9" x14ac:dyDescent="0.3">
      <c r="A8" s="3">
        <v>7</v>
      </c>
      <c r="B8" s="4" t="s">
        <v>8</v>
      </c>
      <c r="C8" s="5">
        <v>16</v>
      </c>
      <c r="D8" s="6">
        <v>6</v>
      </c>
      <c r="E8" s="4">
        <v>9</v>
      </c>
      <c r="F8" s="7" t="s">
        <v>17</v>
      </c>
      <c r="G8" s="8">
        <f>(Plan1!$C8*10%)*Plan1!$D8</f>
        <v>9.6000000000000014</v>
      </c>
      <c r="H8" s="5">
        <f>(Plan1!$C8*Plan1!$D8)-Plan1!$G8</f>
        <v>86.4</v>
      </c>
      <c r="I8" s="2">
        <v>2011</v>
      </c>
    </row>
    <row r="9" spans="1:9" x14ac:dyDescent="0.3">
      <c r="A9" s="3">
        <v>8</v>
      </c>
      <c r="B9" s="4" t="s">
        <v>49</v>
      </c>
      <c r="C9" s="5">
        <v>17</v>
      </c>
      <c r="D9" s="6">
        <v>7</v>
      </c>
      <c r="E9" s="4">
        <v>2</v>
      </c>
      <c r="F9" s="7" t="s">
        <v>18</v>
      </c>
      <c r="G9" s="8">
        <f>(Plan1!$C9*10%)*Plan1!$D9</f>
        <v>11.900000000000002</v>
      </c>
      <c r="H9" s="5">
        <f>(Plan1!$C9*Plan1!$D9)-Plan1!$G9</f>
        <v>107.1</v>
      </c>
      <c r="I9" s="2">
        <v>2025</v>
      </c>
    </row>
    <row r="10" spans="1:9" x14ac:dyDescent="0.3">
      <c r="A10" s="3">
        <v>9</v>
      </c>
      <c r="B10" s="4" t="s">
        <v>50</v>
      </c>
      <c r="C10" s="5">
        <v>18</v>
      </c>
      <c r="D10" s="6">
        <v>8</v>
      </c>
      <c r="E10" s="4">
        <v>3</v>
      </c>
      <c r="F10" s="7" t="s">
        <v>19</v>
      </c>
      <c r="G10" s="8">
        <f>(Plan1!$C10*10%)*Plan1!$D10</f>
        <v>14.4</v>
      </c>
      <c r="H10" s="5">
        <f>(Plan1!$C10*Plan1!$D10)-Plan1!$G10</f>
        <v>129.6</v>
      </c>
      <c r="I10" s="2">
        <v>2011</v>
      </c>
    </row>
    <row r="11" spans="1:9" x14ac:dyDescent="0.3">
      <c r="A11" s="3">
        <v>10</v>
      </c>
      <c r="B11" s="4" t="s">
        <v>3</v>
      </c>
      <c r="C11" s="5">
        <v>19</v>
      </c>
      <c r="D11" s="6">
        <v>5</v>
      </c>
      <c r="E11" s="4">
        <v>0</v>
      </c>
      <c r="F11" s="7" t="s">
        <v>26</v>
      </c>
      <c r="G11" s="8">
        <f>(Plan1!$C11*10%)*Plan1!$D11</f>
        <v>9.5</v>
      </c>
      <c r="H11" s="5">
        <f>(Plan1!$C11*Plan1!$D11)-Plan1!$G11</f>
        <v>85.5</v>
      </c>
      <c r="I11" s="2">
        <v>2025</v>
      </c>
    </row>
    <row r="12" spans="1:9" x14ac:dyDescent="0.3">
      <c r="A12" s="3">
        <v>11</v>
      </c>
      <c r="B12" s="4" t="s">
        <v>31</v>
      </c>
      <c r="C12" s="5">
        <v>20</v>
      </c>
      <c r="D12" s="6">
        <v>9</v>
      </c>
      <c r="E12" s="4">
        <v>1</v>
      </c>
      <c r="F12" s="7" t="s">
        <v>20</v>
      </c>
      <c r="G12" s="8">
        <f>(Plan1!$C12*10%)*Plan1!$D12</f>
        <v>18</v>
      </c>
      <c r="H12" s="5">
        <f>(Plan1!$C12*Plan1!$D12)-Plan1!$G12</f>
        <v>162</v>
      </c>
      <c r="I12" s="2">
        <v>2011</v>
      </c>
    </row>
    <row r="13" spans="1:9" x14ac:dyDescent="0.3">
      <c r="A13" s="3">
        <v>12</v>
      </c>
      <c r="B13" s="4" t="s">
        <v>32</v>
      </c>
      <c r="C13" s="5">
        <v>21</v>
      </c>
      <c r="D13" s="6">
        <v>15</v>
      </c>
      <c r="E13" s="4">
        <v>2</v>
      </c>
      <c r="F13" s="7" t="s">
        <v>21</v>
      </c>
      <c r="G13" s="8">
        <f>(Plan1!$C13*10%)*Plan1!$D13</f>
        <v>31.5</v>
      </c>
      <c r="H13" s="5">
        <f>(Plan1!$C13*Plan1!$D13)-Plan1!$G13</f>
        <v>283.5</v>
      </c>
      <c r="I13" s="2">
        <v>2025</v>
      </c>
    </row>
    <row r="14" spans="1:9" x14ac:dyDescent="0.3">
      <c r="A14" s="3">
        <v>13</v>
      </c>
      <c r="B14" s="4" t="s">
        <v>33</v>
      </c>
      <c r="C14" s="5">
        <v>22</v>
      </c>
      <c r="D14" s="6">
        <v>16</v>
      </c>
      <c r="E14" s="4">
        <v>3</v>
      </c>
      <c r="F14" s="7" t="s">
        <v>22</v>
      </c>
      <c r="G14" s="8">
        <f>(Plan1!$C14*10%)*Plan1!$D14</f>
        <v>35.200000000000003</v>
      </c>
      <c r="H14" s="5">
        <f>(Plan1!$C14*Plan1!$D14)-Plan1!$G14</f>
        <v>316.8</v>
      </c>
      <c r="I14" s="2">
        <v>2011</v>
      </c>
    </row>
    <row r="15" spans="1:9" x14ac:dyDescent="0.3">
      <c r="A15" s="3">
        <v>14</v>
      </c>
      <c r="B15" s="4" t="s">
        <v>34</v>
      </c>
      <c r="C15" s="5">
        <v>23</v>
      </c>
      <c r="D15" s="6">
        <v>17</v>
      </c>
      <c r="E15" s="4">
        <v>4</v>
      </c>
      <c r="F15" s="7" t="s">
        <v>23</v>
      </c>
      <c r="G15" s="8">
        <f>(Plan1!$C15*10%)*Plan1!$D15</f>
        <v>39.1</v>
      </c>
      <c r="H15" s="5">
        <f>(Plan1!$C15*Plan1!$D15)-Plan1!$G15</f>
        <v>351.9</v>
      </c>
      <c r="I15" s="2">
        <v>2010</v>
      </c>
    </row>
    <row r="16" spans="1:9" x14ac:dyDescent="0.3">
      <c r="A16" s="3">
        <v>15</v>
      </c>
      <c r="B16" s="4" t="s">
        <v>35</v>
      </c>
      <c r="C16" s="5">
        <v>24</v>
      </c>
      <c r="D16" s="6">
        <v>18</v>
      </c>
      <c r="E16" s="4">
        <v>0</v>
      </c>
      <c r="F16" s="7" t="s">
        <v>24</v>
      </c>
      <c r="G16" s="8">
        <f>(Plan1!$C16*10%)*Plan1!$D16</f>
        <v>43.2</v>
      </c>
      <c r="H16" s="5">
        <f>(Plan1!$C16*Plan1!$D16)-Plan1!$G16</f>
        <v>388.8</v>
      </c>
      <c r="I16" s="2">
        <v>2011</v>
      </c>
    </row>
    <row r="17" spans="1:9" x14ac:dyDescent="0.3">
      <c r="A17" s="3">
        <v>16</v>
      </c>
      <c r="B17" s="4" t="s">
        <v>36</v>
      </c>
      <c r="C17" s="5">
        <v>25</v>
      </c>
      <c r="D17" s="6">
        <v>19</v>
      </c>
      <c r="E17" s="4">
        <v>4</v>
      </c>
      <c r="F17" s="7" t="s">
        <v>25</v>
      </c>
      <c r="G17" s="8">
        <f>(Plan1!$C17*10%)*Plan1!$D17</f>
        <v>47.5</v>
      </c>
      <c r="H17" s="5">
        <f>(Plan1!$C17*Plan1!$D17)-Plan1!$G17</f>
        <v>427.5</v>
      </c>
      <c r="I17" s="2">
        <v>2025</v>
      </c>
    </row>
    <row r="18" spans="1:9" x14ac:dyDescent="0.3">
      <c r="A18" s="3">
        <v>17</v>
      </c>
      <c r="B18" s="4" t="s">
        <v>37</v>
      </c>
      <c r="C18" s="5">
        <v>26</v>
      </c>
      <c r="D18" s="6">
        <v>20</v>
      </c>
      <c r="E18" s="4">
        <v>6</v>
      </c>
      <c r="F18" s="7" t="s">
        <v>26</v>
      </c>
      <c r="G18" s="8">
        <f>(Plan1!$C18*10%)*Plan1!$D18</f>
        <v>52</v>
      </c>
      <c r="H18" s="5">
        <f>(Plan1!$C18*Plan1!$D18)-Plan1!$G18</f>
        <v>468</v>
      </c>
      <c r="I18" s="2">
        <v>2011</v>
      </c>
    </row>
    <row r="19" spans="1:9" x14ac:dyDescent="0.3">
      <c r="A19" s="3">
        <v>18</v>
      </c>
      <c r="B19" s="4" t="s">
        <v>38</v>
      </c>
      <c r="C19" s="5">
        <v>27</v>
      </c>
      <c r="D19" s="6">
        <v>21</v>
      </c>
      <c r="E19" s="4">
        <v>7</v>
      </c>
      <c r="F19" s="7" t="s">
        <v>27</v>
      </c>
      <c r="G19" s="8">
        <f>(Plan1!$C19*10%)*Plan1!$D19</f>
        <v>56.7</v>
      </c>
      <c r="H19" s="5">
        <f>(Plan1!$C19*Plan1!$D19)-Plan1!$G19</f>
        <v>510.3</v>
      </c>
      <c r="I19" s="2">
        <v>2010</v>
      </c>
    </row>
    <row r="20" spans="1:9" x14ac:dyDescent="0.3">
      <c r="A20" s="3">
        <v>19</v>
      </c>
      <c r="B20" s="4" t="s">
        <v>39</v>
      </c>
      <c r="C20" s="5">
        <v>28</v>
      </c>
      <c r="D20" s="6">
        <v>22</v>
      </c>
      <c r="E20" s="4">
        <v>89</v>
      </c>
      <c r="F20" s="7" t="s">
        <v>28</v>
      </c>
      <c r="G20" s="8">
        <f>(Plan1!$C20*10%)*Plan1!$D20</f>
        <v>61.600000000000009</v>
      </c>
      <c r="H20" s="5">
        <f>(Plan1!$C20*Plan1!$D20)-Plan1!$G20</f>
        <v>554.4</v>
      </c>
      <c r="I20" s="2">
        <v>2011</v>
      </c>
    </row>
    <row r="21" spans="1:9" x14ac:dyDescent="0.3">
      <c r="A21" s="3">
        <v>20</v>
      </c>
      <c r="B21" s="4" t="s">
        <v>40</v>
      </c>
      <c r="C21" s="5">
        <v>29</v>
      </c>
      <c r="D21" s="6">
        <v>23</v>
      </c>
      <c r="E21" s="4">
        <v>123</v>
      </c>
      <c r="F21" s="7" t="s">
        <v>29</v>
      </c>
      <c r="G21" s="8">
        <f>(Plan1!$C21*10%)*Plan1!$D21</f>
        <v>66.7</v>
      </c>
      <c r="H21" s="5">
        <f>(Plan1!$C21*Plan1!$D21)-Plan1!$G21</f>
        <v>600.29999999999995</v>
      </c>
      <c r="I21" s="2">
        <v>2025</v>
      </c>
    </row>
    <row r="22" spans="1:9" x14ac:dyDescent="0.3">
      <c r="A22" s="3">
        <v>21</v>
      </c>
      <c r="B22" s="4" t="s">
        <v>41</v>
      </c>
      <c r="C22" s="5">
        <v>30</v>
      </c>
      <c r="D22" s="6">
        <v>24</v>
      </c>
      <c r="E22" s="4">
        <v>1</v>
      </c>
      <c r="F22" s="7" t="s">
        <v>30</v>
      </c>
      <c r="G22" s="8">
        <f>(Plan1!$C22*10%)*Plan1!$D22</f>
        <v>72</v>
      </c>
      <c r="H22" s="5">
        <f>(Plan1!$C22*Plan1!$D22)-Plan1!$G22</f>
        <v>648</v>
      </c>
      <c r="I22" s="2">
        <v>2011</v>
      </c>
    </row>
    <row r="23" spans="1:9" x14ac:dyDescent="0.3">
      <c r="A23" s="3">
        <v>22</v>
      </c>
      <c r="B23" s="4" t="s">
        <v>42</v>
      </c>
      <c r="C23" s="5">
        <v>31</v>
      </c>
      <c r="D23" s="6">
        <v>25</v>
      </c>
      <c r="E23" s="4">
        <v>1</v>
      </c>
      <c r="F23" s="7" t="s">
        <v>51</v>
      </c>
      <c r="G23" s="8">
        <f>(Plan1!$C23*10%)*Plan1!$D23</f>
        <v>77.5</v>
      </c>
      <c r="H23" s="5">
        <f>(Plan1!$C23*Plan1!$D23)-Plan1!$G23</f>
        <v>697.5</v>
      </c>
      <c r="I23" s="2">
        <v>2010</v>
      </c>
    </row>
    <row r="24" spans="1:9" x14ac:dyDescent="0.3">
      <c r="A24" s="3">
        <v>23</v>
      </c>
      <c r="B24" s="4" t="s">
        <v>43</v>
      </c>
      <c r="C24" s="5">
        <v>32</v>
      </c>
      <c r="D24" s="6">
        <v>26</v>
      </c>
      <c r="E24" s="4">
        <v>1</v>
      </c>
      <c r="F24" s="7" t="s">
        <v>52</v>
      </c>
      <c r="G24" s="8">
        <f>(Plan1!$C24*10%)*Plan1!$D24</f>
        <v>83.2</v>
      </c>
      <c r="H24" s="5">
        <f>(Plan1!$C24*Plan1!$D24)-Plan1!$G24</f>
        <v>748.8</v>
      </c>
      <c r="I24" s="2">
        <v>2011</v>
      </c>
    </row>
    <row r="25" spans="1:9" x14ac:dyDescent="0.3">
      <c r="A25" s="3">
        <v>24</v>
      </c>
      <c r="B25" s="4" t="s">
        <v>44</v>
      </c>
      <c r="C25" s="5">
        <v>33</v>
      </c>
      <c r="D25" s="6">
        <v>27</v>
      </c>
      <c r="E25" s="4">
        <v>1</v>
      </c>
      <c r="F25" s="7" t="s">
        <v>53</v>
      </c>
      <c r="G25" s="8">
        <f>(Plan1!$C25*10%)*Plan1!$D25</f>
        <v>89.100000000000009</v>
      </c>
      <c r="H25" s="5">
        <f>(Plan1!$C25*Plan1!$D25)-Plan1!$G25</f>
        <v>801.9</v>
      </c>
      <c r="I25" s="2">
        <v>2025</v>
      </c>
    </row>
    <row r="26" spans="1:9" x14ac:dyDescent="0.3">
      <c r="A26" s="3">
        <v>25</v>
      </c>
      <c r="B26" s="4" t="s">
        <v>45</v>
      </c>
      <c r="C26" s="5">
        <v>34</v>
      </c>
      <c r="D26" s="6">
        <v>28</v>
      </c>
      <c r="E26" s="4">
        <v>1</v>
      </c>
      <c r="F26" s="7" t="s">
        <v>54</v>
      </c>
      <c r="G26" s="8">
        <f>(Plan1!$C26*10%)*Plan1!$D26</f>
        <v>95.200000000000017</v>
      </c>
      <c r="H26" s="5">
        <f>(Plan1!$C26*Plan1!$D26)-Plan1!$G26</f>
        <v>856.8</v>
      </c>
      <c r="I26" s="2">
        <v>2011</v>
      </c>
    </row>
    <row r="27" spans="1:9" x14ac:dyDescent="0.3">
      <c r="A27" s="3">
        <v>26</v>
      </c>
      <c r="B27" s="4" t="s">
        <v>46</v>
      </c>
      <c r="C27" s="5">
        <v>35</v>
      </c>
      <c r="D27" s="6">
        <v>29</v>
      </c>
      <c r="E27" s="4">
        <v>0</v>
      </c>
      <c r="F27" s="7" t="s">
        <v>55</v>
      </c>
      <c r="G27" s="8">
        <f>(Plan1!$C27*10%)*Plan1!$D27</f>
        <v>101.5</v>
      </c>
      <c r="H27" s="5">
        <f>(Plan1!$C27*Plan1!$D27)-Plan1!$G27</f>
        <v>913.5</v>
      </c>
      <c r="I27" s="2">
        <v>2010</v>
      </c>
    </row>
    <row r="28" spans="1:9" x14ac:dyDescent="0.3">
      <c r="A28" s="3">
        <v>27</v>
      </c>
      <c r="B28" s="4" t="s">
        <v>47</v>
      </c>
      <c r="C28" s="5">
        <v>36</v>
      </c>
      <c r="D28" s="6">
        <v>30</v>
      </c>
      <c r="E28" s="4">
        <v>0</v>
      </c>
      <c r="F28" s="7" t="s">
        <v>56</v>
      </c>
      <c r="G28" s="8">
        <f>(Plan1!$C28*10%)*Plan1!$D28</f>
        <v>108</v>
      </c>
      <c r="H28" s="5">
        <f>(Plan1!$C28*Plan1!$D28)-Plan1!$G28</f>
        <v>972</v>
      </c>
      <c r="I28" s="2">
        <v>2011</v>
      </c>
    </row>
    <row r="29" spans="1:9" x14ac:dyDescent="0.3">
      <c r="A29" s="3">
        <v>28</v>
      </c>
      <c r="B29" s="4" t="s">
        <v>48</v>
      </c>
      <c r="C29" s="5">
        <v>37</v>
      </c>
      <c r="D29" s="6">
        <v>31</v>
      </c>
      <c r="E29" s="4">
        <v>0</v>
      </c>
      <c r="F29" s="7" t="s">
        <v>57</v>
      </c>
      <c r="G29" s="8">
        <f>(Plan1!$C29*10%)*Plan1!$D29</f>
        <v>114.7</v>
      </c>
      <c r="H29" s="5">
        <f>(Plan1!$C29*Plan1!$D29)-Plan1!$G29</f>
        <v>1032.3</v>
      </c>
      <c r="I29" s="2">
        <v>2025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Silva</dc:creator>
  <cp:lastModifiedBy>Jose Silva</cp:lastModifiedBy>
  <dcterms:created xsi:type="dcterms:W3CDTF">2025-11-29T17:56:36Z</dcterms:created>
  <dcterms:modified xsi:type="dcterms:W3CDTF">2025-12-01T13:33:43Z</dcterms:modified>
</cp:coreProperties>
</file>